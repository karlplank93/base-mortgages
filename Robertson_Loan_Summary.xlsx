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an 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<sst xmlns="http://schemas.openxmlformats.org/spreadsheetml/2006/main" count="25" uniqueCount="19">
  <si>
    <t xml:space="preserve">Loan Summary</t>
  </si>
  <si>
    <t xml:space="preserve">Property / Facility</t>
  </si>
  <si>
    <t xml:space="preserve">Amount</t>
  </si>
  <si>
    <t xml:space="preserve">Loan Term (years)</t>
  </si>
  <si>
    <t xml:space="preserve">Rate Term</t>
  </si>
  <si>
    <t xml:space="preserve">Interest Rate</t>
  </si>
  <si>
    <t xml:space="preserve">J Robertson CH-CH Investments Ltd (Revolving)</t>
  </si>
  <si>
    <t xml:space="preserve">2/8 Moa Pl</t>
  </si>
  <si>
    <t xml:space="preserve">1 year</t>
  </si>
  <si>
    <t xml:space="preserve">103/422 Hagley Ave</t>
  </si>
  <si>
    <t xml:space="preserve">2 years</t>
  </si>
  <si>
    <t xml:space="preserve">Debt Consolidation</t>
  </si>
  <si>
    <t xml:space="preserve">Revolving Credit</t>
  </si>
  <si>
    <t xml:space="preserve">-</t>
  </si>
  <si>
    <t xml:space="preserve">Section Total</t>
  </si>
  <si>
    <t xml:space="preserve">Robertson PA Ltd</t>
  </si>
  <si>
    <t xml:space="preserve">109/12 Latimer</t>
  </si>
  <si>
    <t xml:space="preserve">F/27 Waiwhetu Rd</t>
  </si>
  <si>
    <t xml:space="preserve">GRAND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</si>
</sst>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3"/>
      <name val="Arial"/>
      <family val="0"/>
      <charset val="1"/>
    </font>
    <font>
      <b val="true"/>
      <sz val="10"/>
      <color rgb="FF1F293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3"/>
        <bgColor rgb="FF3D3D3D"/>
      </patternFill>
    </fill>
    <fill>
      <patternFill patternType="solid">
        <fgColor rgb="FFC9A063"/>
        <bgColor rgb="FFFF8080"/>
      </patternFill>
    </fill>
    <fill>
      <patternFill patternType="solid">
        <fgColor rgb="FF3D3D3D"/>
        <bgColor rgb="FF1F2933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D9D9D9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063"/>
      <rgbColor rgb="FF003366"/>
      <rgbColor rgb="FF339966"/>
      <rgbColor rgb="FF003300"/>
      <rgbColor rgb="FF1F2933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8" hidden="false" customHeight="true" outlineLevel="0" collapsed="false">
      <c r="A3" s="3" t="s">
        <v>6</v>
      </c>
      <c r="B3" s="3"/>
      <c r="C3" s="3"/>
      <c r="D3" s="3"/>
      <c r="E3" s="3"/>
    </row>
    <row r="4" customFormat="false" ht="15.75" hidden="false" customHeight="true" outlineLevel="0" collapsed="false">
      <c r="A4" s="4" t="s">
        <v>7</v>
      </c>
      <c r="B4" s="5" t="n">
        <v>251800</v>
      </c>
      <c r="C4" s="6" t="n">
        <v>30</v>
      </c>
      <c r="D4" s="6" t="s">
        <v>8</v>
      </c>
      <c r="E4" s="7" t="n">
        <v>0.0469</v>
      </c>
    </row>
    <row r="5" customFormat="false" ht="15.75" hidden="false" customHeight="true" outlineLevel="0" collapsed="false">
      <c r="A5" s="8" t="s">
        <v>9</v>
      </c>
      <c r="B5" s="9" t="n">
        <v>238500</v>
      </c>
      <c r="C5" s="10" t="n">
        <v>30</v>
      </c>
      <c r="D5" s="10" t="s">
        <v>10</v>
      </c>
      <c r="E5" s="11" t="n">
        <v>0.0519</v>
      </c>
    </row>
    <row r="6" customFormat="false" ht="15.75" hidden="false" customHeight="true" outlineLevel="0" collapsed="false">
      <c r="A6" s="4" t="s">
        <v>11</v>
      </c>
      <c r="B6" s="5" t="n">
        <v>50435</v>
      </c>
      <c r="C6" s="6" t="n">
        <v>10</v>
      </c>
      <c r="D6" s="6" t="s">
        <v>8</v>
      </c>
      <c r="E6" s="7" t="n">
        <v>0.0469</v>
      </c>
    </row>
    <row r="7" customFormat="false" ht="15.75" hidden="false" customHeight="true" outlineLevel="0" collapsed="false">
      <c r="A7" s="8" t="s">
        <v>12</v>
      </c>
      <c r="B7" s="9" t="n">
        <v>15956</v>
      </c>
      <c r="C7" s="10" t="s">
        <v>13</v>
      </c>
      <c r="D7" s="10" t="s">
        <v>13</v>
      </c>
      <c r="E7" s="11" t="n">
        <v>0.057</v>
      </c>
    </row>
    <row r="8" customFormat="false" ht="15.75" hidden="false" customHeight="true" outlineLevel="0" collapsed="false">
      <c r="A8" s="12" t="s">
        <v>14</v>
      </c>
      <c r="B8" s="13" t="n">
        <f aca="false">SUM(B4:B7)</f>
        <v>556691</v>
      </c>
      <c r="C8" s="14"/>
      <c r="D8" s="14"/>
      <c r="E8" s="14"/>
    </row>
    <row r="9" customFormat="false" ht="18" hidden="false" customHeight="true" outlineLevel="0" collapsed="false">
      <c r="A9" s="3" t="s">
        <v>15</v>
      </c>
      <c r="B9" s="3"/>
      <c r="C9" s="3"/>
      <c r="D9" s="3"/>
      <c r="E9" s="3"/>
    </row>
    <row r="10" customFormat="false" ht="15.75" hidden="false" customHeight="true" outlineLevel="0" collapsed="false">
      <c r="A10" s="4" t="s">
        <v>16</v>
      </c>
      <c r="B10" s="5" t="n">
        <v>386500</v>
      </c>
      <c r="C10" s="6" t="n">
        <v>30</v>
      </c>
      <c r="D10" s="6" t="s">
        <v>8</v>
      </c>
      <c r="E10" s="7" t="n">
        <v>0.0469</v>
      </c>
    </row>
    <row r="11" customFormat="false" ht="15.75" hidden="false" customHeight="true" outlineLevel="0" collapsed="false">
      <c r="A11" s="8" t="s">
        <v>17</v>
      </c>
      <c r="B11" s="9" t="n">
        <v>250000</v>
      </c>
      <c r="C11" s="10" t="n">
        <v>30</v>
      </c>
      <c r="D11" s="10" t="s">
        <v>10</v>
      </c>
      <c r="E11" s="11" t="n">
        <v>0.0519</v>
      </c>
    </row>
    <row r="12" customFormat="false" ht="15.75" hidden="false" customHeight="true" outlineLevel="0" collapsed="false">
      <c r="A12" s="4"/>
      <c r="B12" s="5" t="n">
        <v>250000</v>
      </c>
      <c r="C12" s="6" t="n">
        <v>30</v>
      </c>
      <c r="D12" s="6" t="s">
        <v>10</v>
      </c>
      <c r="E12" s="7" t="n">
        <v>0.0519</v>
      </c>
    </row>
    <row r="13" customFormat="false" ht="15.75" hidden="false" customHeight="true" outlineLevel="0" collapsed="false">
      <c r="A13" s="12" t="s">
        <v>14</v>
      </c>
      <c r="B13" s="13" t="n">
        <f aca="false">SUM(B10:B12)</f>
        <v>886500</v>
      </c>
      <c r="C13" s="14"/>
      <c r="D13" s="14"/>
      <c r="E13" s="14"/>
    </row>
    <row r="14" customFormat="false" ht="18" hidden="false" customHeight="true" outlineLevel="0" collapsed="false">
      <c r="A14" s="15" t="s">
        <v>18</v>
      </c>
      <c r="B14" s="16" t="n">
        <f aca="false">B8+B13</f>
        <v>1443191</v>
      </c>
      <c r="C14" s="17"/>
      <c r="D14" s="17"/>
      <c r="E14" s="17"/>
    </row>
  </sheetData>
  <mergeCells count="3">
    <mergeCell ref="A1:E1"/>
    <mergeCell ref="A3:E3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2026-06-09T02:44:51Z</dcterms:created>
  <dc:creator>openpyxl</dc:creator>
  <dc:description/>
  <dc:language>en-US</dc:language>
  <cp:lastModifiedBy/>
  <dcterms:modified xsi:type="dcterms:W3CDTF">2026-06-09T02:44:51Z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